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" sheetId="1" state="visible" r:id="rId3"/>
    <sheet name="PETamentor 2" sheetId="2" state="visible" r:id="rId4"/>
  </sheets>
  <definedNames>
    <definedName function="false" hidden="true" localSheetId="1" name="_xlnm._FilterDatabase" vbProcedure="false">'PETamentor 2'!$A$3:$B$27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<sst xmlns="http://schemas.openxmlformats.org/spreadsheetml/2006/main" count="224" uniqueCount="140">
  <si>
    <t xml:space="preserve">Selvi – Review of intern's PETamentor2 list (3 Oct 2026)</t>
  </si>
  <si>
    <t xml:space="preserve">Verdicts: MISTAKE = won't work / replace · MISSING = not on list · FIX = spec incomplete · CHECK = confirm with intern · OK. Prices are estimates from Indian stores (Robu, Robocraze, Zbotic, Probots, Quartz) checked 3 Oct 2026; 0 = already ordered or not needed.</t>
  </si>
  <si>
    <t xml:space="preserve">#</t>
  </si>
  <si>
    <t xml:space="preserve">Item (intern's list)</t>
  </si>
  <si>
    <t xml:space="preserve">Status</t>
  </si>
  <si>
    <t xml:space="preserve">Verdict</t>
  </si>
  <si>
    <t xml:space="preserve">Issue</t>
  </si>
  <si>
    <t xml:space="preserve">Action / correct spec</t>
  </si>
  <si>
    <t xml:space="preserve">To-buy ₹ (est.)</t>
  </si>
  <si>
    <t xml:space="preserve">Link</t>
  </si>
  <si>
    <t xml:space="preserve">w3230 thermo-controller</t>
  </si>
  <si>
    <t xml:space="preserve">Ordered</t>
  </si>
  <si>
    <t xml:space="preserve">MISTAKE</t>
  </si>
  <si>
    <t xml:space="preserve">The W3230 measures only −50 to 110 °C and reads NTC sensors only. PET needs about 215 °C, so it can't run this machine.</t>
  </si>
  <si>
    <t xml:space="preserve">Replace with a REX-C100 (SSR output, FK02-V*AN, K-type, 0–400 °C). Keep the W3230 for a low-temp job such as a filament dryer.</t>
  </si>
  <si>
    <t xml:space="preserve">https://robu.in/product/rex-c100-digital-thermostat-temperature-3/</t>
  </si>
  <si>
    <t xml:space="preserve">ntc wire</t>
  </si>
  <si>
    <t xml:space="preserve">Waterproof NTC probes are rated to about 105 °C and will fail at the nozzle. The REX-C100 needs a K-type thermocouple anyway.</t>
  </si>
  <si>
    <t xml:space="preserve">Replace with a K-type thermocouple probe (0–800 °C).</t>
  </si>
  <si>
    <t xml:space="preserve">https://robocraze.com/products/k-type-thermocouple-sensor-probe-0-800-degree-c</t>
  </si>
  <si>
    <t xml:space="preserve">(missing) SSR-40DD</t>
  </si>
  <si>
    <t xml:space="preserve">—</t>
  </si>
  <si>
    <t xml:space="preserve">MISSING</t>
  </si>
  <si>
    <t xml:space="preserve">The REX-C100 has no power output of its own, so it needs a relay to switch the 3.3 A heater.</t>
  </si>
  <si>
    <t xml:space="preserve">Add an SSR-40DD (DC→DC). Don't buy the Amazon kit: its SSR-40DA can't switch 12 V DC.</t>
  </si>
  <si>
    <t xml:space="preserve">https://robocraze.com/products/ssr-40dd-dc-3-32v-input-to-dc-5-200v-solid-state-relay</t>
  </si>
  <si>
    <t xml:space="preserve">in5408 diode</t>
  </si>
  <si>
    <t xml:space="preserve">CHECK</t>
  </si>
  <si>
    <t xml:space="preserve">No role in the PETamentor2 circuit. The PWM board already has a flyback diode. As reverse-polarity protection on the 12 V rail it's undersized (3 A rating vs ≈4 A load) and wastes about 1 V.</t>
  </si>
  <si>
    <t xml:space="preserve">Ask the intern what it was for. Most likely it isn't needed.</t>
  </si>
  <si>
    <t xml:space="preserve">1.5 mm drill bit</t>
  </si>
  <si>
    <t xml:space="preserve">Pending</t>
  </si>
  <si>
    <t xml:space="preserve">FIX</t>
  </si>
  <si>
    <t xml:space="preserve">A 1.5 mm bore gives filament that's too thin for 1.75 mm printers.</t>
  </si>
  <si>
    <t xml:space="preserve">Drill to 1.8 mm. Buying the 25-bit set (0.5–3 mm, 2× 1.8 mm, pin vise) covers 1.5 and 1.8 so both can be tested.</t>
  </si>
  <si>
    <t xml:space="preserve">https://probots.co.in/mini-drill-bit-set-with-25-bits.html</t>
  </si>
  <si>
    <t xml:space="preserve">nozzle</t>
  </si>
  <si>
    <t xml:space="preserve">No size given. Starting from 0.4 mm makes drilling to 1.8 mm much harder.</t>
  </si>
  <si>
    <t xml:space="preserve">Confirm it's an M6 V6 nozzle. Preferably add the 1.75 × 1.2 mm Volcano (₹53) as the drilling blank.</t>
  </si>
  <si>
    <t xml:space="preserve">https://robocraze.com/products/v6-volcano-brass-length-extruder-nozzle-1-75mm-x-1-2mm</t>
  </si>
  <si>
    <t xml:space="preserve">7.5A automotive blade fuse + inline holder</t>
  </si>
  <si>
    <t xml:space="preserve">OK</t>
  </si>
  <si>
    <t xml:space="preserve">Fine for the 12 V side with a 10 A SMPS.</t>
  </si>
  <si>
    <t xml:space="preserve">Keep. Mount it right at SMPS V+.</t>
  </si>
  <si>
    <t xml:space="preserve">(missing) mains inlet + AC fuse</t>
  </si>
  <si>
    <t xml:space="preserve">No protection on the 230 V side. A fault in the SMPS or REX wiring would be unfused.</t>
  </si>
  <si>
    <t xml:space="preserve">Add an IEC C14 inlet with switch + fuse holder, and a T2A slow-blow fuse. Earth the SMPS case.</t>
  </si>
  <si>
    <t xml:space="preserve">https://probots.co.in/iec-c14-3-pin-ac-power-socket-fuse-switch-snap-fit.html</t>
  </si>
  <si>
    <t xml:space="preserve">12V 10A Power Supply</t>
  </si>
  <si>
    <t xml:space="preserve">Better than the 5 A in the original list. Gives headroom for motor stall plus heater.</t>
  </si>
  <si>
    <t xml:space="preserve">Keep.</t>
  </si>
  <si>
    <t xml:space="preserve">pwm speed controller 5amp 12v</t>
  </si>
  <si>
    <t xml:space="preserve">Puller motor speed control. Only one is needed.</t>
  </si>
  <si>
    <t xml:space="preserve">12V 7RPM JGB37-520 geared DC motor</t>
  </si>
  <si>
    <t xml:space="preserve">Matches the original 7 RPM puller.</t>
  </si>
  <si>
    <t xml:space="preserve">Keep. Confirm the printed puller mount has a round ~37 mm bore.</t>
  </si>
  <si>
    <t xml:space="preserve">N20 12V 300RPM geared motor (cutter)</t>
  </si>
  <si>
    <t xml:space="preserve">Drives the blade height through the worm gear and M8 screw.</t>
  </si>
  <si>
    <t xml:space="preserve">Level / limit switch / microswitches</t>
  </si>
  <si>
    <t xml:space="preserve">They must be 3-pin NO/NC (KW11-3Z, 20×10 mm) to reverse the N20. 2-pin or 4-pin tact switches won't work.</t>
  </si>
  <si>
    <t xml:space="preserve">Check the pin count. 2 pcs needed.</t>
  </si>
  <si>
    <t xml:space="preserve">rocker switch</t>
  </si>
  <si>
    <t xml:space="preserve">Use it as puller start/stop on 12 V (fits the printed On_OFF_switch part).</t>
  </si>
  <si>
    <t xml:space="preserve">Power cord</t>
  </si>
  <si>
    <t xml:space="preserve">Needs a 3-pin plug with earth, ending in IEC C13 if using the inlet above.</t>
  </si>
  <si>
    <t xml:space="preserve">12V 40W cartridge heater</t>
  </si>
  <si>
    <t xml:space="preserve">3.3 A at 12 V.</t>
  </si>
  <si>
    <t xml:space="preserve">Check it says 12 V, not 24 V.</t>
  </si>
  <si>
    <t xml:space="preserve">Heat block</t>
  </si>
  <si>
    <t xml:space="preserve">V6 or MK8, with an M6 nozzle thread and 6 mm heater bore.</t>
  </si>
  <si>
    <t xml:space="preserve">608ZZ bearings</t>
  </si>
  <si>
    <t xml:space="preserve">Not in the PETamentor2 parts list. Fine if your modified cutter uses bearing guides.</t>
  </si>
  <si>
    <t xml:space="preserve">Keep only if your printed parts have 22 mm bearing seats.</t>
  </si>
  <si>
    <t xml:space="preserve">M8 threaded rod</t>
  </si>
  <si>
    <t xml:space="preserve">The official list uses 2× M8 × 35 half-thread hex bolts (13 mm head). A rod is only needed if your cutter part needs it.</t>
  </si>
  <si>
    <t xml:space="preserve">Buy the 2× M8 × 35 bolts + nuts. Add a rod only if the printed holder needs one.</t>
  </si>
  <si>
    <t xml:space="preserve">6 mm drill bit</t>
  </si>
  <si>
    <t xml:space="preserve">For mounting holes in the board.</t>
  </si>
  <si>
    <t xml:space="preserve">Keep (shop tool).</t>
  </si>
  <si>
    <t xml:space="preserve">20×20 mm L-bracket</t>
  </si>
  <si>
    <t xml:space="preserve">Good addition: it holds the hot block away from the PLA parts (as in the Creative3DP video).</t>
  </si>
  <si>
    <t xml:space="preserve">Keep. Keep a ≥5 mm air gap to plastic.</t>
  </si>
  <si>
    <t xml:space="preserve">M3 screws</t>
  </si>
  <si>
    <t xml:space="preserve">No length or quantity given.</t>
  </si>
  <si>
    <t xml:space="preserve">M3 × 10, about 50 pcs, plus M3 nuts.</t>
  </si>
  <si>
    <t xml:space="preserve">https://probots.co.in/m3x10mm-bolts-and-nuts.html</t>
  </si>
  <si>
    <t xml:space="preserve">m2 screws</t>
  </si>
  <si>
    <t xml:space="preserve">The original uses M2.6 wood screws, 10–12 mm, for fixing parts to the board.</t>
  </si>
  <si>
    <t xml:space="preserve">Specify ~M2.6–3 × 12 wood screws.</t>
  </si>
  <si>
    <t xml:space="preserve">6 mm × 6 mm flexible shaft coupler</t>
  </si>
  <si>
    <t xml:space="preserve">The JGB37 shaft is 6 mm D, but the printed 'Puller motor joint' already couples it to the spool.</t>
  </si>
  <si>
    <t xml:space="preserve">Skip it unless the printed joint doesn't fit.</t>
  </si>
  <si>
    <t xml:space="preserve">Wooden plank / platform</t>
  </si>
  <si>
    <t xml:space="preserve">No size given.</t>
  </si>
  <si>
    <t xml:space="preserve">≈450 × 140 × 12 mm ply or MDF, or bigger.</t>
  </si>
  <si>
    <t xml:space="preserve">Blade</t>
  </si>
  <si>
    <t xml:space="preserve">Type not specified.</t>
  </si>
  <si>
    <t xml:space="preserve">9 mm snap-off blades (Taparia SKB-910, 10 pcs).</t>
  </si>
  <si>
    <t xml:space="preserve">https://quartzcomponents.com/products/taparia-9-mm-snap-off-cutter-blades-skb-910</t>
  </si>
  <si>
    <t xml:space="preserve">heat shrink</t>
  </si>
  <si>
    <t xml:space="preserve">hex nuts / hex screws / m6 screw</t>
  </si>
  <si>
    <t xml:space="preserve">Sizes missing.</t>
  </si>
  <si>
    <t xml:space="preserve">M8 nuts ×2, M6 screw + nut (heater/spool mount per tutorial), M3 nuts.</t>
  </si>
  <si>
    <t xml:space="preserve">drill</t>
  </si>
  <si>
    <t xml:space="preserve">Tool. A pin vise works for the nozzle.</t>
  </si>
  <si>
    <t xml:space="preserve">(missing) 18 AWG silicone wire</t>
  </si>
  <si>
    <t xml:space="preserve">Heater leads near a 215 °C block need high-temp wire.</t>
  </si>
  <si>
    <t xml:space="preserve">Add 1 m red + 1 m black.</t>
  </si>
  <si>
    <t xml:space="preserve">https://zbotic.in/product/18awg-extrasoft-silicone-wire-color-red/</t>
  </si>
  <si>
    <t xml:space="preserve">(missing) Kapton tape</t>
  </si>
  <si>
    <t xml:space="preserve">Holds the thermocouple bead on the block.</t>
  </si>
  <si>
    <t xml:space="preserve">Add a 12 mm roll.</t>
  </si>
  <si>
    <t xml:space="preserve">https://quartzcomponents.com/products/kapton-tape</t>
  </si>
  <si>
    <t xml:space="preserve">(missing) 22 AWG wire + ferrules</t>
  </si>
  <si>
    <t xml:space="preserve">Signal wiring, and ferrules for the screw terminals.</t>
  </si>
  <si>
    <t xml:space="preserve">Add.</t>
  </si>
  <si>
    <t xml:space="preserve">(missing) 100 nF capacitors ×2</t>
  </si>
  <si>
    <t xml:space="preserve">Motor noise suppression so the temperature reading stays steady.</t>
  </si>
  <si>
    <t xml:space="preserve">Add (local, ~₹5).</t>
  </si>
  <si>
    <t xml:space="preserve">(optional) 4010 fan + digital caliper</t>
  </si>
  <si>
    <t xml:space="preserve">OPTIONAL</t>
  </si>
  <si>
    <t xml:space="preserve">The fan cools the filament. The caliper measures the 1.75 mm diameter for QC.</t>
  </si>
  <si>
    <t xml:space="preserve">Recommended.</t>
  </si>
  <si>
    <t xml:space="preserve">Remaining to buy (excl. optional)</t>
  </si>
  <si>
    <t xml:space="preserve">Remaining incl. optional</t>
  </si>
  <si>
    <t xml:space="preserve">Count of MISTAKE / MISSING items</t>
  </si>
  <si>
    <t xml:space="preserve">PETamentor 2 – Project Components</t>
  </si>
  <si>
    <t xml:space="preserve">Ordered / Packed</t>
  </si>
  <si>
    <t xml:space="preserve">Not Ordered / Pending</t>
  </si>
  <si>
    <t xml:space="preserve"> pwm speed controller 5amp 12v </t>
  </si>
  <si>
    <t xml:space="preserve">7.5A main automotive blade fuse + inline fuse holder</t>
  </si>
  <si>
    <t xml:space="preserve">ntc wire </t>
  </si>
  <si>
    <t xml:space="preserve">heat shrink </t>
  </si>
  <si>
    <t xml:space="preserve">w3230 thermo-controller </t>
  </si>
  <si>
    <t xml:space="preserve">hex nuts</t>
  </si>
  <si>
    <t xml:space="preserve">in5408 diode </t>
  </si>
  <si>
    <t xml:space="preserve">hex screws</t>
  </si>
  <si>
    <t xml:space="preserve">nozzle </t>
  </si>
  <si>
    <t xml:space="preserve">drill </t>
  </si>
  <si>
    <t xml:space="preserve">m6 screw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</si>
</sst>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\-;\-"/>
    <numFmt numFmtId="166" formatCode="\₹#,##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5A"/>
        <bgColor rgb="FF1F4E78"/>
      </patternFill>
    </fill>
    <fill>
      <patternFill patternType="solid">
        <fgColor rgb="FFF8D7DA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DEBF7"/>
      </patternFill>
    </fill>
    <fill>
      <patternFill patternType="solid">
        <fgColor rgb="FFEDEDED"/>
        <bgColor rgb="FFDDEBF7"/>
      </patternFill>
    </fill>
    <fill>
      <patternFill patternType="solid">
        <fgColor rgb="FF1F4E78"/>
        <bgColor rgb="FF1F4E5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CE5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obu.in/product/rex-c100-digital-thermostat-temperature-3/" TargetMode="External"/><Relationship Id="rId2" Type="http://schemas.openxmlformats.org/officeDocument/2006/relationships/hyperlink" Target="https://robocraze.com/products/k-type-thermocouple-sensor-probe-0-800-degree-c" TargetMode="External"/><Relationship Id="rId3" Type="http://schemas.openxmlformats.org/officeDocument/2006/relationships/hyperlink" Target="https://robocraze.com/products/ssr-40dd-dc-3-32v-input-to-dc-5-200v-solid-state-relay" TargetMode="External"/><Relationship Id="rId4" Type="http://schemas.openxmlformats.org/officeDocument/2006/relationships/hyperlink" Target="https://probots.co.in/mini-drill-bit-set-with-25-bits.html" TargetMode="External"/><Relationship Id="rId5" Type="http://schemas.openxmlformats.org/officeDocument/2006/relationships/hyperlink" Target="https://robocraze.com/products/v6-volcano-brass-length-extruder-nozzle-1-75mm-x-1-2mm" TargetMode="External"/><Relationship Id="rId6" Type="http://schemas.openxmlformats.org/officeDocument/2006/relationships/hyperlink" Target="https://probots.co.in/iec-c14-3-pin-ac-power-socket-fuse-switch-snap-fit.html" TargetMode="External"/><Relationship Id="rId7" Type="http://schemas.openxmlformats.org/officeDocument/2006/relationships/hyperlink" Target="https://probots.co.in/m3x10mm-bolts-and-nuts.html" TargetMode="External"/><Relationship Id="rId8" Type="http://schemas.openxmlformats.org/officeDocument/2006/relationships/hyperlink" Target="https://quartzcomponents.com/products/taparia-9-mm-snap-off-cutter-blades-skb-910" TargetMode="External"/><Relationship Id="rId9" Type="http://schemas.openxmlformats.org/officeDocument/2006/relationships/hyperlink" Target="https://zbotic.in/product/18awg-extrasoft-silicone-wire-color-red/" TargetMode="External"/><Relationship Id="rId10" Type="http://schemas.openxmlformats.org/officeDocument/2006/relationships/hyperlink" Target="https://quartzcomponents.com/products/kapton-tap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55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4" t="s">
        <v>11</v>
      </c>
      <c r="D5" s="5" t="s">
        <v>12</v>
      </c>
      <c r="E5" s="4" t="s">
        <v>13</v>
      </c>
      <c r="F5" s="4" t="s">
        <v>14</v>
      </c>
      <c r="G5" s="6" t="n">
        <v>529</v>
      </c>
      <c r="H5" s="7" t="s">
        <v>15</v>
      </c>
    </row>
    <row r="6" customFormat="false" ht="23.85" hidden="false" customHeight="false" outlineLevel="0" collapsed="false">
      <c r="A6" s="4" t="n">
        <v>2</v>
      </c>
      <c r="B6" s="4" t="s">
        <v>16</v>
      </c>
      <c r="C6" s="4" t="s">
        <v>11</v>
      </c>
      <c r="D6" s="5" t="s">
        <v>12</v>
      </c>
      <c r="E6" s="4" t="s">
        <v>17</v>
      </c>
      <c r="F6" s="4" t="s">
        <v>18</v>
      </c>
      <c r="G6" s="6" t="n">
        <v>69</v>
      </c>
      <c r="H6" s="7" t="s">
        <v>19</v>
      </c>
    </row>
    <row r="7" customFormat="false" ht="23.85" hidden="false" customHeight="false" outlineLevel="0" collapsed="false">
      <c r="A7" s="4" t="n">
        <v>3</v>
      </c>
      <c r="B7" s="4" t="s">
        <v>20</v>
      </c>
      <c r="C7" s="4" t="s">
        <v>21</v>
      </c>
      <c r="D7" s="8" t="s">
        <v>22</v>
      </c>
      <c r="E7" s="4" t="s">
        <v>23</v>
      </c>
      <c r="F7" s="4" t="s">
        <v>24</v>
      </c>
      <c r="G7" s="6" t="n">
        <v>449</v>
      </c>
      <c r="H7" s="7" t="s">
        <v>25</v>
      </c>
    </row>
    <row r="8" customFormat="false" ht="35.05" hidden="false" customHeight="false" outlineLevel="0" collapsed="false">
      <c r="A8" s="4" t="n">
        <v>4</v>
      </c>
      <c r="B8" s="4" t="s">
        <v>26</v>
      </c>
      <c r="C8" s="4" t="s">
        <v>11</v>
      </c>
      <c r="D8" s="9" t="s">
        <v>27</v>
      </c>
      <c r="E8" s="4" t="s">
        <v>28</v>
      </c>
      <c r="F8" s="4" t="s">
        <v>29</v>
      </c>
      <c r="G8" s="6" t="n">
        <v>0</v>
      </c>
      <c r="H8" s="10"/>
    </row>
    <row r="9" customFormat="false" ht="23.85" hidden="false" customHeight="false" outlineLevel="0" collapsed="false">
      <c r="A9" s="4" t="n">
        <v>5</v>
      </c>
      <c r="B9" s="4" t="s">
        <v>30</v>
      </c>
      <c r="C9" s="4" t="s">
        <v>31</v>
      </c>
      <c r="D9" s="11" t="s">
        <v>32</v>
      </c>
      <c r="E9" s="4" t="s">
        <v>33</v>
      </c>
      <c r="F9" s="4" t="s">
        <v>34</v>
      </c>
      <c r="G9" s="6" t="n">
        <v>449</v>
      </c>
      <c r="H9" s="7" t="s">
        <v>35</v>
      </c>
    </row>
    <row r="10" customFormat="false" ht="23.85" hidden="false" customHeight="false" outlineLevel="0" collapsed="false">
      <c r="A10" s="4" t="n">
        <v>6</v>
      </c>
      <c r="B10" s="4" t="s">
        <v>36</v>
      </c>
      <c r="C10" s="4" t="s">
        <v>11</v>
      </c>
      <c r="D10" s="9" t="s">
        <v>27</v>
      </c>
      <c r="E10" s="4" t="s">
        <v>37</v>
      </c>
      <c r="F10" s="4" t="s">
        <v>38</v>
      </c>
      <c r="G10" s="6" t="n">
        <v>53</v>
      </c>
      <c r="H10" s="7" t="s">
        <v>39</v>
      </c>
    </row>
    <row r="11" customFormat="false" ht="23.85" hidden="false" customHeight="false" outlineLevel="0" collapsed="false">
      <c r="A11" s="4" t="n">
        <v>7</v>
      </c>
      <c r="B11" s="4" t="s">
        <v>40</v>
      </c>
      <c r="C11" s="4" t="s">
        <v>31</v>
      </c>
      <c r="D11" s="12" t="s">
        <v>41</v>
      </c>
      <c r="E11" s="4" t="s">
        <v>42</v>
      </c>
      <c r="F11" s="4" t="s">
        <v>43</v>
      </c>
      <c r="G11" s="6" t="n">
        <v>60</v>
      </c>
      <c r="H11" s="10"/>
    </row>
    <row r="12" customFormat="false" ht="23.85" hidden="false" customHeight="false" outlineLevel="0" collapsed="false">
      <c r="A12" s="4" t="n">
        <v>8</v>
      </c>
      <c r="B12" s="4" t="s">
        <v>44</v>
      </c>
      <c r="C12" s="4" t="s">
        <v>21</v>
      </c>
      <c r="D12" s="8" t="s">
        <v>22</v>
      </c>
      <c r="E12" s="4" t="s">
        <v>45</v>
      </c>
      <c r="F12" s="4" t="s">
        <v>46</v>
      </c>
      <c r="G12" s="6" t="n">
        <v>151</v>
      </c>
      <c r="H12" s="7" t="s">
        <v>47</v>
      </c>
    </row>
    <row r="13" customFormat="false" ht="23.85" hidden="false" customHeight="false" outlineLevel="0" collapsed="false">
      <c r="A13" s="4" t="n">
        <v>9</v>
      </c>
      <c r="B13" s="4" t="s">
        <v>48</v>
      </c>
      <c r="C13" s="4" t="s">
        <v>11</v>
      </c>
      <c r="D13" s="12" t="s">
        <v>41</v>
      </c>
      <c r="E13" s="4" t="s">
        <v>49</v>
      </c>
      <c r="F13" s="4" t="s">
        <v>50</v>
      </c>
      <c r="G13" s="6" t="n">
        <v>0</v>
      </c>
      <c r="H13" s="10"/>
    </row>
    <row r="14" customFormat="false" ht="15" hidden="false" customHeight="false" outlineLevel="0" collapsed="false">
      <c r="A14" s="4" t="n">
        <v>10</v>
      </c>
      <c r="B14" s="4" t="s">
        <v>51</v>
      </c>
      <c r="C14" s="4" t="s">
        <v>11</v>
      </c>
      <c r="D14" s="12" t="s">
        <v>41</v>
      </c>
      <c r="E14" s="4" t="s">
        <v>52</v>
      </c>
      <c r="F14" s="4" t="s">
        <v>50</v>
      </c>
      <c r="G14" s="6" t="n">
        <v>0</v>
      </c>
      <c r="H14" s="10"/>
    </row>
    <row r="15" customFormat="false" ht="15" hidden="false" customHeight="false" outlineLevel="0" collapsed="false">
      <c r="A15" s="4" t="n">
        <v>11</v>
      </c>
      <c r="B15" s="4" t="s">
        <v>53</v>
      </c>
      <c r="C15" s="4" t="s">
        <v>11</v>
      </c>
      <c r="D15" s="12" t="s">
        <v>41</v>
      </c>
      <c r="E15" s="4" t="s">
        <v>54</v>
      </c>
      <c r="F15" s="4" t="s">
        <v>55</v>
      </c>
      <c r="G15" s="6" t="n">
        <v>0</v>
      </c>
      <c r="H15" s="10"/>
    </row>
    <row r="16" customFormat="false" ht="15" hidden="false" customHeight="false" outlineLevel="0" collapsed="false">
      <c r="A16" s="4" t="n">
        <v>12</v>
      </c>
      <c r="B16" s="4" t="s">
        <v>56</v>
      </c>
      <c r="C16" s="4" t="s">
        <v>11</v>
      </c>
      <c r="D16" s="12" t="s">
        <v>41</v>
      </c>
      <c r="E16" s="4" t="s">
        <v>57</v>
      </c>
      <c r="F16" s="4" t="s">
        <v>50</v>
      </c>
      <c r="G16" s="6" t="n">
        <v>0</v>
      </c>
      <c r="H16" s="10"/>
    </row>
    <row r="17" customFormat="false" ht="23.85" hidden="false" customHeight="false" outlineLevel="0" collapsed="false">
      <c r="A17" s="4" t="n">
        <v>13</v>
      </c>
      <c r="B17" s="4" t="s">
        <v>58</v>
      </c>
      <c r="C17" s="4" t="s">
        <v>11</v>
      </c>
      <c r="D17" s="9" t="s">
        <v>27</v>
      </c>
      <c r="E17" s="4" t="s">
        <v>59</v>
      </c>
      <c r="F17" s="4" t="s">
        <v>60</v>
      </c>
      <c r="G17" s="6" t="n">
        <v>0</v>
      </c>
      <c r="H17" s="10"/>
    </row>
    <row r="18" customFormat="false" ht="23.85" hidden="false" customHeight="false" outlineLevel="0" collapsed="false">
      <c r="A18" s="4" t="n">
        <v>14</v>
      </c>
      <c r="B18" s="4" t="s">
        <v>61</v>
      </c>
      <c r="C18" s="4" t="s">
        <v>11</v>
      </c>
      <c r="D18" s="12" t="s">
        <v>41</v>
      </c>
      <c r="E18" s="4" t="s">
        <v>62</v>
      </c>
      <c r="F18" s="4" t="s">
        <v>50</v>
      </c>
      <c r="G18" s="6" t="n">
        <v>0</v>
      </c>
      <c r="H18" s="10"/>
    </row>
    <row r="19" customFormat="false" ht="23.85" hidden="false" customHeight="false" outlineLevel="0" collapsed="false">
      <c r="A19" s="4" t="n">
        <v>15</v>
      </c>
      <c r="B19" s="4" t="s">
        <v>63</v>
      </c>
      <c r="C19" s="4" t="s">
        <v>11</v>
      </c>
      <c r="D19" s="12" t="s">
        <v>41</v>
      </c>
      <c r="E19" s="4" t="s">
        <v>64</v>
      </c>
      <c r="F19" s="4" t="s">
        <v>50</v>
      </c>
      <c r="G19" s="6" t="n">
        <v>0</v>
      </c>
      <c r="H19" s="10"/>
    </row>
    <row r="20" customFormat="false" ht="15" hidden="false" customHeight="false" outlineLevel="0" collapsed="false">
      <c r="A20" s="4" t="n">
        <v>16</v>
      </c>
      <c r="B20" s="4" t="s">
        <v>65</v>
      </c>
      <c r="C20" s="4" t="s">
        <v>11</v>
      </c>
      <c r="D20" s="12" t="s">
        <v>41</v>
      </c>
      <c r="E20" s="4" t="s">
        <v>66</v>
      </c>
      <c r="F20" s="4" t="s">
        <v>67</v>
      </c>
      <c r="G20" s="6" t="n">
        <v>0</v>
      </c>
      <c r="H20" s="10"/>
    </row>
    <row r="21" customFormat="false" ht="15" hidden="false" customHeight="false" outlineLevel="0" collapsed="false">
      <c r="A21" s="4" t="n">
        <v>17</v>
      </c>
      <c r="B21" s="4" t="s">
        <v>68</v>
      </c>
      <c r="C21" s="4" t="s">
        <v>11</v>
      </c>
      <c r="D21" s="12" t="s">
        <v>41</v>
      </c>
      <c r="E21" s="4" t="s">
        <v>69</v>
      </c>
      <c r="F21" s="4" t="s">
        <v>50</v>
      </c>
      <c r="G21" s="6" t="n">
        <v>0</v>
      </c>
      <c r="H21" s="10"/>
    </row>
    <row r="22" customFormat="false" ht="23.85" hidden="false" customHeight="false" outlineLevel="0" collapsed="false">
      <c r="A22" s="4" t="n">
        <v>18</v>
      </c>
      <c r="B22" s="4" t="s">
        <v>70</v>
      </c>
      <c r="C22" s="4" t="s">
        <v>11</v>
      </c>
      <c r="D22" s="9" t="s">
        <v>27</v>
      </c>
      <c r="E22" s="4" t="s">
        <v>71</v>
      </c>
      <c r="F22" s="4" t="s">
        <v>72</v>
      </c>
      <c r="G22" s="6" t="n">
        <v>0</v>
      </c>
      <c r="H22" s="10"/>
    </row>
    <row r="23" customFormat="false" ht="23.85" hidden="false" customHeight="false" outlineLevel="0" collapsed="false">
      <c r="A23" s="4" t="n">
        <v>19</v>
      </c>
      <c r="B23" s="4" t="s">
        <v>73</v>
      </c>
      <c r="C23" s="4" t="s">
        <v>31</v>
      </c>
      <c r="D23" s="9" t="s">
        <v>27</v>
      </c>
      <c r="E23" s="4" t="s">
        <v>74</v>
      </c>
      <c r="F23" s="4" t="s">
        <v>75</v>
      </c>
      <c r="G23" s="6" t="n">
        <v>40</v>
      </c>
      <c r="H23" s="10"/>
    </row>
    <row r="24" customFormat="false" ht="15" hidden="false" customHeight="false" outlineLevel="0" collapsed="false">
      <c r="A24" s="4" t="n">
        <v>20</v>
      </c>
      <c r="B24" s="4" t="s">
        <v>76</v>
      </c>
      <c r="C24" s="4" t="s">
        <v>31</v>
      </c>
      <c r="D24" s="12" t="s">
        <v>41</v>
      </c>
      <c r="E24" s="4" t="s">
        <v>77</v>
      </c>
      <c r="F24" s="4" t="s">
        <v>78</v>
      </c>
      <c r="G24" s="6" t="n">
        <v>0</v>
      </c>
      <c r="H24" s="10"/>
    </row>
    <row r="25" customFormat="false" ht="23.85" hidden="false" customHeight="false" outlineLevel="0" collapsed="false">
      <c r="A25" s="4" t="n">
        <v>21</v>
      </c>
      <c r="B25" s="4" t="s">
        <v>79</v>
      </c>
      <c r="C25" s="4" t="s">
        <v>31</v>
      </c>
      <c r="D25" s="12" t="s">
        <v>41</v>
      </c>
      <c r="E25" s="4" t="s">
        <v>80</v>
      </c>
      <c r="F25" s="4" t="s">
        <v>81</v>
      </c>
      <c r="G25" s="6" t="n">
        <v>20</v>
      </c>
      <c r="H25" s="10"/>
    </row>
    <row r="26" customFormat="false" ht="15" hidden="false" customHeight="false" outlineLevel="0" collapsed="false">
      <c r="A26" s="4" t="n">
        <v>22</v>
      </c>
      <c r="B26" s="4" t="s">
        <v>82</v>
      </c>
      <c r="C26" s="4" t="s">
        <v>31</v>
      </c>
      <c r="D26" s="11" t="s">
        <v>32</v>
      </c>
      <c r="E26" s="4" t="s">
        <v>83</v>
      </c>
      <c r="F26" s="4" t="s">
        <v>84</v>
      </c>
      <c r="G26" s="6" t="n">
        <v>150</v>
      </c>
      <c r="H26" s="7" t="s">
        <v>85</v>
      </c>
    </row>
    <row r="27" customFormat="false" ht="23.85" hidden="false" customHeight="false" outlineLevel="0" collapsed="false">
      <c r="A27" s="4" t="n">
        <v>23</v>
      </c>
      <c r="B27" s="4" t="s">
        <v>86</v>
      </c>
      <c r="C27" s="4" t="s">
        <v>31</v>
      </c>
      <c r="D27" s="11" t="s">
        <v>32</v>
      </c>
      <c r="E27" s="4" t="s">
        <v>87</v>
      </c>
      <c r="F27" s="4" t="s">
        <v>88</v>
      </c>
      <c r="G27" s="6" t="n">
        <v>30</v>
      </c>
      <c r="H27" s="10"/>
    </row>
    <row r="28" customFormat="false" ht="23.85" hidden="false" customHeight="false" outlineLevel="0" collapsed="false">
      <c r="A28" s="4" t="n">
        <v>24</v>
      </c>
      <c r="B28" s="4" t="s">
        <v>89</v>
      </c>
      <c r="C28" s="4" t="s">
        <v>31</v>
      </c>
      <c r="D28" s="9" t="s">
        <v>27</v>
      </c>
      <c r="E28" s="4" t="s">
        <v>90</v>
      </c>
      <c r="F28" s="4" t="s">
        <v>91</v>
      </c>
      <c r="G28" s="6" t="n">
        <v>0</v>
      </c>
      <c r="H28" s="10"/>
    </row>
    <row r="29" customFormat="false" ht="15" hidden="false" customHeight="false" outlineLevel="0" collapsed="false">
      <c r="A29" s="4" t="n">
        <v>25</v>
      </c>
      <c r="B29" s="4" t="s">
        <v>92</v>
      </c>
      <c r="C29" s="4" t="s">
        <v>31</v>
      </c>
      <c r="D29" s="11" t="s">
        <v>32</v>
      </c>
      <c r="E29" s="4" t="s">
        <v>93</v>
      </c>
      <c r="F29" s="4" t="s">
        <v>94</v>
      </c>
      <c r="G29" s="6" t="n">
        <v>100</v>
      </c>
      <c r="H29" s="10"/>
    </row>
    <row r="30" customFormat="false" ht="15" hidden="false" customHeight="false" outlineLevel="0" collapsed="false">
      <c r="A30" s="4" t="n">
        <v>26</v>
      </c>
      <c r="B30" s="4" t="s">
        <v>95</v>
      </c>
      <c r="C30" s="4" t="s">
        <v>31</v>
      </c>
      <c r="D30" s="11" t="s">
        <v>32</v>
      </c>
      <c r="E30" s="4" t="s">
        <v>96</v>
      </c>
      <c r="F30" s="4" t="s">
        <v>97</v>
      </c>
      <c r="G30" s="6" t="n">
        <v>45</v>
      </c>
      <c r="H30" s="7" t="s">
        <v>98</v>
      </c>
    </row>
    <row r="31" customFormat="false" ht="15" hidden="false" customHeight="false" outlineLevel="0" collapsed="false">
      <c r="A31" s="4" t="n">
        <v>27</v>
      </c>
      <c r="B31" s="4" t="s">
        <v>99</v>
      </c>
      <c r="C31" s="4" t="s">
        <v>31</v>
      </c>
      <c r="D31" s="12" t="s">
        <v>41</v>
      </c>
      <c r="E31" s="4"/>
      <c r="F31" s="4" t="s">
        <v>50</v>
      </c>
      <c r="G31" s="6" t="n">
        <v>100</v>
      </c>
      <c r="H31" s="10"/>
    </row>
    <row r="32" customFormat="false" ht="23.85" hidden="false" customHeight="false" outlineLevel="0" collapsed="false">
      <c r="A32" s="4" t="n">
        <v>28</v>
      </c>
      <c r="B32" s="4" t="s">
        <v>100</v>
      </c>
      <c r="C32" s="4" t="s">
        <v>31</v>
      </c>
      <c r="D32" s="11" t="s">
        <v>32</v>
      </c>
      <c r="E32" s="4" t="s">
        <v>101</v>
      </c>
      <c r="F32" s="4" t="s">
        <v>102</v>
      </c>
      <c r="G32" s="6" t="n">
        <v>0</v>
      </c>
      <c r="H32" s="10"/>
    </row>
    <row r="33" customFormat="false" ht="15" hidden="false" customHeight="false" outlineLevel="0" collapsed="false">
      <c r="A33" s="4" t="n">
        <v>29</v>
      </c>
      <c r="B33" s="4" t="s">
        <v>103</v>
      </c>
      <c r="C33" s="4" t="s">
        <v>31</v>
      </c>
      <c r="D33" s="12" t="s">
        <v>41</v>
      </c>
      <c r="E33" s="4" t="s">
        <v>104</v>
      </c>
      <c r="F33" s="4" t="s">
        <v>50</v>
      </c>
      <c r="G33" s="6" t="n">
        <v>0</v>
      </c>
      <c r="H33" s="10"/>
    </row>
    <row r="34" customFormat="false" ht="15" hidden="false" customHeight="false" outlineLevel="0" collapsed="false">
      <c r="A34" s="4" t="n">
        <v>30</v>
      </c>
      <c r="B34" s="4" t="s">
        <v>105</v>
      </c>
      <c r="C34" s="4" t="s">
        <v>21</v>
      </c>
      <c r="D34" s="8" t="s">
        <v>22</v>
      </c>
      <c r="E34" s="4" t="s">
        <v>106</v>
      </c>
      <c r="F34" s="4" t="s">
        <v>107</v>
      </c>
      <c r="G34" s="6" t="n">
        <v>60</v>
      </c>
      <c r="H34" s="7" t="s">
        <v>108</v>
      </c>
    </row>
    <row r="35" customFormat="false" ht="15" hidden="false" customHeight="false" outlineLevel="0" collapsed="false">
      <c r="A35" s="4" t="n">
        <v>31</v>
      </c>
      <c r="B35" s="4" t="s">
        <v>109</v>
      </c>
      <c r="C35" s="4" t="s">
        <v>21</v>
      </c>
      <c r="D35" s="8" t="s">
        <v>22</v>
      </c>
      <c r="E35" s="4" t="s">
        <v>110</v>
      </c>
      <c r="F35" s="4" t="s">
        <v>111</v>
      </c>
      <c r="G35" s="6" t="n">
        <v>101</v>
      </c>
      <c r="H35" s="7" t="s">
        <v>112</v>
      </c>
    </row>
    <row r="36" customFormat="false" ht="15" hidden="false" customHeight="false" outlineLevel="0" collapsed="false">
      <c r="A36" s="4" t="n">
        <v>32</v>
      </c>
      <c r="B36" s="4" t="s">
        <v>113</v>
      </c>
      <c r="C36" s="4" t="s">
        <v>21</v>
      </c>
      <c r="D36" s="8" t="s">
        <v>22</v>
      </c>
      <c r="E36" s="4" t="s">
        <v>114</v>
      </c>
      <c r="F36" s="4" t="s">
        <v>115</v>
      </c>
      <c r="G36" s="6" t="n">
        <v>43</v>
      </c>
      <c r="H36" s="10"/>
    </row>
    <row r="37" customFormat="false" ht="15" hidden="false" customHeight="false" outlineLevel="0" collapsed="false">
      <c r="A37" s="4" t="n">
        <v>33</v>
      </c>
      <c r="B37" s="4" t="s">
        <v>116</v>
      </c>
      <c r="C37" s="4" t="s">
        <v>21</v>
      </c>
      <c r="D37" s="8" t="s">
        <v>22</v>
      </c>
      <c r="E37" s="4" t="s">
        <v>117</v>
      </c>
      <c r="F37" s="4" t="s">
        <v>118</v>
      </c>
      <c r="G37" s="6" t="n">
        <v>10</v>
      </c>
      <c r="H37" s="10"/>
    </row>
    <row r="38" customFormat="false" ht="23.85" hidden="false" customHeight="false" outlineLevel="0" collapsed="false">
      <c r="A38" s="4" t="n">
        <v>34</v>
      </c>
      <c r="B38" s="4" t="s">
        <v>119</v>
      </c>
      <c r="C38" s="4" t="s">
        <v>21</v>
      </c>
      <c r="D38" s="13" t="s">
        <v>120</v>
      </c>
      <c r="E38" s="4" t="s">
        <v>121</v>
      </c>
      <c r="F38" s="4" t="s">
        <v>122</v>
      </c>
      <c r="G38" s="6" t="n">
        <v>510</v>
      </c>
      <c r="H38" s="10"/>
    </row>
    <row r="40" customFormat="false" ht="15" hidden="false" customHeight="false" outlineLevel="0" collapsed="false">
      <c r="B40" s="14" t="s">
        <v>123</v>
      </c>
      <c r="G40" s="15" t="n">
        <f aca="false">SUMIFS(G5:G38,D5:D38,"&lt;&gt;OPTIONAL")</f>
        <v>2459</v>
      </c>
    </row>
    <row r="41" customFormat="false" ht="15" hidden="false" customHeight="false" outlineLevel="0" collapsed="false">
      <c r="B41" s="0" t="s">
        <v>124</v>
      </c>
      <c r="G41" s="16" t="n">
        <f aca="false">SUM(G5:G38)</f>
        <v>2969</v>
      </c>
    </row>
    <row r="42" customFormat="false" ht="15" hidden="false" customHeight="false" outlineLevel="0" collapsed="false">
      <c r="B42" s="0" t="s">
        <v>125</v>
      </c>
      <c r="G42" s="0" t="n">
        <f aca="false">COUNTIF(D5:D38,"MISTAKE")+COUNTIF(D5:D38,"MISSING")</f>
        <v>8</v>
      </c>
    </row>
  </sheetData>
  <hyperlinks>
    <hyperlink ref="H5" r:id="rId1" display="https://robu.in/product/rex-c100-digital-thermostat-temperature-3/"/>
    <hyperlink ref="H6" r:id="rId2" display="https://robocraze.com/products/k-type-thermocouple-sensor-probe-0-800-degree-c"/>
    <hyperlink ref="H7" r:id="rId3" display="https://robocraze.com/products/ssr-40dd-dc-3-32v-input-to-dc-5-200v-solid-state-relay"/>
    <hyperlink ref="H9" r:id="rId4" display="https://probots.co.in/mini-drill-bit-set-with-25-bits.html"/>
    <hyperlink ref="H10" r:id="rId5" display="https://robocraze.com/products/v6-volcano-brass-length-extruder-nozzle-1-75mm-x-1-2mm"/>
    <hyperlink ref="H12" r:id="rId6" display="https://probots.co.in/iec-c14-3-pin-ac-power-socket-fuse-switch-snap-fit.html"/>
    <hyperlink ref="H26" r:id="rId7" display="https://probots.co.in/m3x10mm-bolts-and-nuts.html"/>
    <hyperlink ref="H30" r:id="rId8" display="https://quartzcomponents.com/products/taparia-9-mm-snap-off-cutter-blades-skb-910"/>
    <hyperlink ref="H34" r:id="rId9" display="https://zbotic.in/product/18awg-extrasoft-silicone-wire-color-red/"/>
    <hyperlink ref="H35" r:id="rId10" display="https://quartzcomponents.com/products/kapton-tap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26" min="3" style="0" width="8.71"/>
  </cols>
  <sheetData>
    <row r="1" customFormat="false" ht="19.7" hidden="false" customHeight="false" outlineLevel="0" collapsed="false">
      <c r="A1" s="17" t="s">
        <v>126</v>
      </c>
      <c r="B1" s="17"/>
    </row>
    <row r="3" customFormat="false" ht="15" hidden="false" customHeight="false" outlineLevel="0" collapsed="false">
      <c r="A3" s="18" t="s">
        <v>127</v>
      </c>
      <c r="B3" s="18" t="s">
        <v>128</v>
      </c>
    </row>
    <row r="4" customFormat="false" ht="15" hidden="false" customHeight="false" outlineLevel="0" collapsed="false">
      <c r="A4" s="19" t="s">
        <v>48</v>
      </c>
      <c r="B4" s="19" t="s">
        <v>73</v>
      </c>
    </row>
    <row r="5" customFormat="false" ht="28.35" hidden="false" customHeight="false" outlineLevel="0" collapsed="false">
      <c r="A5" s="19" t="s">
        <v>129</v>
      </c>
      <c r="B5" s="19" t="s">
        <v>130</v>
      </c>
    </row>
    <row r="6" customFormat="false" ht="15" hidden="false" customHeight="false" outlineLevel="0" collapsed="false">
      <c r="A6" s="19" t="s">
        <v>53</v>
      </c>
      <c r="B6" s="19" t="s">
        <v>76</v>
      </c>
    </row>
    <row r="7" customFormat="false" ht="15" hidden="false" customHeight="false" outlineLevel="0" collapsed="false">
      <c r="A7" s="19" t="s">
        <v>61</v>
      </c>
      <c r="B7" s="19" t="s">
        <v>30</v>
      </c>
    </row>
    <row r="8" customFormat="false" ht="15" hidden="false" customHeight="false" outlineLevel="0" collapsed="false">
      <c r="A8" s="19" t="s">
        <v>58</v>
      </c>
      <c r="B8" s="19" t="s">
        <v>79</v>
      </c>
    </row>
    <row r="9" customFormat="false" ht="15" hidden="false" customHeight="false" outlineLevel="0" collapsed="false">
      <c r="A9" s="19" t="s">
        <v>63</v>
      </c>
      <c r="B9" s="19" t="s">
        <v>82</v>
      </c>
    </row>
    <row r="10" customFormat="false" ht="15" hidden="false" customHeight="false" outlineLevel="0" collapsed="false">
      <c r="A10" s="19" t="s">
        <v>56</v>
      </c>
      <c r="B10" s="19" t="s">
        <v>86</v>
      </c>
    </row>
    <row r="11" customFormat="false" ht="15" hidden="false" customHeight="false" outlineLevel="0" collapsed="false">
      <c r="A11" s="19" t="s">
        <v>65</v>
      </c>
      <c r="B11" s="19" t="s">
        <v>89</v>
      </c>
    </row>
    <row r="12" customFormat="false" ht="15" hidden="false" customHeight="false" outlineLevel="0" collapsed="false">
      <c r="A12" s="19" t="s">
        <v>68</v>
      </c>
      <c r="B12" s="19" t="s">
        <v>92</v>
      </c>
    </row>
    <row r="13" customFormat="false" ht="15" hidden="false" customHeight="false" outlineLevel="0" collapsed="false">
      <c r="A13" s="19" t="s">
        <v>70</v>
      </c>
      <c r="B13" s="19" t="s">
        <v>95</v>
      </c>
    </row>
    <row r="14" customFormat="false" ht="15" hidden="false" customHeight="false" outlineLevel="0" collapsed="false">
      <c r="A14" s="19" t="s">
        <v>131</v>
      </c>
      <c r="B14" s="19" t="s">
        <v>132</v>
      </c>
    </row>
    <row r="15" customFormat="false" ht="15" hidden="false" customHeight="false" outlineLevel="0" collapsed="false">
      <c r="A15" s="19" t="s">
        <v>133</v>
      </c>
      <c r="B15" s="19" t="s">
        <v>134</v>
      </c>
    </row>
    <row r="16" customFormat="false" ht="15" hidden="false" customHeight="false" outlineLevel="0" collapsed="false">
      <c r="A16" s="19" t="s">
        <v>135</v>
      </c>
      <c r="B16" s="19" t="s">
        <v>136</v>
      </c>
    </row>
    <row r="17" customFormat="false" ht="15" hidden="false" customHeight="false" outlineLevel="0" collapsed="false">
      <c r="A17" s="19" t="s">
        <v>137</v>
      </c>
      <c r="B17" s="19" t="s">
        <v>138</v>
      </c>
    </row>
    <row r="18" customFormat="false" ht="15" hidden="false" customHeight="false" outlineLevel="0" collapsed="false">
      <c r="A18" s="19"/>
      <c r="B18" s="19" t="s">
        <v>139</v>
      </c>
    </row>
    <row r="19" customFormat="false" ht="15" hidden="false" customHeight="false" outlineLevel="0" collapsed="false">
      <c r="A19" s="19"/>
      <c r="B19" s="19"/>
    </row>
    <row r="20" customFormat="false" ht="15" hidden="false" customHeight="false" outlineLevel="0" collapsed="false">
      <c r="A20" s="19"/>
      <c r="B20" s="19"/>
    </row>
    <row r="21" customFormat="false" ht="15.75" hidden="false" customHeight="true" outlineLevel="0" collapsed="false">
      <c r="A21" s="19"/>
      <c r="B21" s="19"/>
    </row>
    <row r="22" customFormat="false" ht="15.75" hidden="false" customHeight="true" outlineLevel="0" collapsed="false">
      <c r="A22" s="19"/>
      <c r="B22" s="19"/>
    </row>
    <row r="23" customFormat="false" ht="15.75" hidden="false" customHeight="true" outlineLevel="0" collapsed="false">
      <c r="A23" s="19"/>
      <c r="B23" s="19"/>
    </row>
    <row r="24" customFormat="false" ht="15.75" hidden="false" customHeight="true" outlineLevel="0" collapsed="false">
      <c r="A24" s="19"/>
      <c r="B24" s="19"/>
    </row>
    <row r="25" customFormat="false" ht="15.75" hidden="false" customHeight="true" outlineLevel="0" collapsed="false">
      <c r="A25" s="19"/>
      <c r="B25" s="19"/>
    </row>
    <row r="26" customFormat="false" ht="15.75" hidden="false" customHeight="true" outlineLevel="0" collapsed="false">
      <c r="A26" s="19"/>
      <c r="B26" s="19"/>
    </row>
    <row r="27" customFormat="false" ht="15.75" hidden="false" customHeight="true" outlineLevel="0" collapsed="false">
      <c r="A27" s="19"/>
      <c r="B27" s="19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3:B27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2026-10-03T04:59:28Z</dcterms:created>
  <dc:creator>openpyxl</dc:creator>
  <dc:description/>
  <dc:language>en-US</dc:language>
  <cp:lastModifiedBy/>
  <dcterms:modified xsi:type="dcterms:W3CDTF">2026-10-03T04:59:28Z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